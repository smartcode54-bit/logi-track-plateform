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 tabRatio="500" firstSheet="1" activeTab="1"/>
  </bookViews>
  <sheets>
    <sheet name="Assumptions" sheetId="1" r:id="rId1"/>
    <sheet name="จุดเด่นเทียบคู่แข่ง" sheetId="6" r:id="rId2"/>
    <sheet name="Model 1 - ขายขาด+MA" sheetId="2" r:id="rId3"/>
    <sheet name="Model 2 - รายคันต่อเดือน" sheetId="3" r:id="rId4"/>
    <sheet name="Add-ons เสริม" sheetId="4" r:id="rId5"/>
    <sheet name="เปรียบเทียบ 3 ปี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<sst xmlns="http://schemas.openxmlformats.org/spreadsheetml/2006/main" count="208" uniqueCount="189">
  <si>
    <t>LogiTrack Pro — สมมติฐานต้นทุน (Pricing Assumptions)</t>
  </si>
  <si>
    <t>ตัวเลขสีน้ำเงินคือค่าที่ปรับได้ — แก้ตรงนี้แล้วราคา/margin ทุกชีทจะคำนวณใหม่อัตโนมัติ กรอกข้อมูลต้นทุนจริงแทนค่าสมมติเมื่อพร้อม</t>
  </si>
  <si>
    <t>รายการ</t>
  </si>
  <si>
    <t>ค่า</t>
  </si>
  <si>
    <t>หน่วย</t>
  </si>
  <si>
    <t>หมายเหตุ/แหล่งที่มา</t>
  </si>
  <si>
    <t>ต้นทุน Infra ต่อคันต่อเดือน (Firebase: Firestore/Storage/Functions/รูปถ่าย)</t>
  </si>
  <si>
    <t>บาท/คัน/เดือน</t>
  </si>
  <si>
    <t>สมมติฐาน — แทนที่ด้วยยอดบิล Firebase จริง หารด้วยจำนวนคันเฉลี่ย</t>
  </si>
  <si>
    <t>ต้นทุนทีม Support ต่อลูกค้าต่อเดือน (คน+เวลา)</t>
  </si>
  <si>
    <t>บาท/ลูกค้า/เดือน</t>
  </si>
  <si>
    <t>สมมติฐาน — ปรับตาม headcount และเงินเดือนทีม support จริง</t>
  </si>
  <si>
    <t>ขนาดกองรถเฉลี่ยต่อลูกค้า (ใช้แบ่งต้นทุน support ต่อคัน)</t>
  </si>
  <si>
    <t>คัน</t>
  </si>
  <si>
    <t>สมมติฐาน</t>
  </si>
  <si>
    <t>เป้า Gross Margin — Model 2 (รายคัน/เดือน)</t>
  </si>
  <si>
    <t>%</t>
  </si>
  <si>
    <t>มาตรฐาน SaaS ทั่วไป 65-80%</t>
  </si>
  <si>
    <t>เป้า Gross Margin — Model 1 (ขายขาด+MA)</t>
  </si>
  <si>
    <t>รวมต้นทุน deploy/implementation ครั้งแรก</t>
  </si>
  <si>
    <t>ต้นทุนพัฒนาสะสม (sunk cost, อ้างอิงเท่านั้น)</t>
  </si>
  <si>
    <t>บาท</t>
  </si>
  <si>
    <t>ไม่ใช้คำนวณราคาโดยตรง — ใช้ดู payback period เท่านั้น</t>
  </si>
  <si>
    <t>อัตรา MA มาตรฐาน (% ของค่า License)</t>
  </si>
  <si>
    <t>อุตสาหกรรมทั่วไป 15-20%/ปี</t>
  </si>
  <si>
    <t>ต้นทุน Onboarding พื้นฐาน (data migration + training)</t>
  </si>
  <si>
    <t>สมมติฐาน ต่อ 1 บริษัทลูกค้า</t>
  </si>
  <si>
    <t>ค่าที่คำนวณได้ (Derived)</t>
  </si>
  <si>
    <t>ต้นทุนรวมต่อคันต่อเดือน (infra + support ที่ปันส่วน)</t>
  </si>
  <si>
    <t>ราคาขั้นต่ำที่แนะนำต่อคัน/เดือน (เพื่อให้ได้ margin เป้าหมาย Model 2)</t>
  </si>
  <si>
    <t>LogiTrack Pro เทียบกับคู่แข่งในตลาด (Competitive Comparison)</t>
  </si>
  <si>
    <t>เทียบกับ 2 กลุ่มหลักในตลาด: (1) ผู้ให้บริการ GPS Tracking ในไทย เช่น bioWatch/GPS2GO, Forth Tracking, DRVR และ (2) Enterprise TMS ต่างประเทศ เช่น Geotab, Samsara, Oracle TMS, Blue Yonder — ข้อมูลอ้างอิงจากการสำรวจตลาดทั่วไป กรกฎาคม 2026</t>
  </si>
  <si>
    <t>หัวข้อเปรียบเทียบ</t>
  </si>
  <si>
    <t>LogiTrack Pro</t>
  </si>
  <si>
    <t>GPS Tracking ไทย
(bioWatch / Forth / DRVR)</t>
  </si>
  <si>
    <t>Enterprise TMS ต่างประเทศ
(Geotab / Samsara / Oracle / SAP)</t>
  </si>
  <si>
    <t>ระบบวางบิล/ออกใบแจ้งหนี้อัตโนมัติจาก trip</t>
  </si>
  <si>
    <t>มีในตัว — คำนวณจาก rate card + fuel adjustment + standby + multi-drop แล้วออก Invoice/Receipt/Excel พร้อมส่งลูกค้าได้ทันที</t>
  </si>
  <si>
    <t>ไม่มี — เป็นระบบติดตามตำแหน่งอย่างเดียว ต้องใช้ Excel/ระบบบัญชีแยกต่างหาก</t>
  </si>
  <si>
    <t>มี แต่เป็นโมดูลแยกที่ต้องซื้อเพิ่มและ implement เอง ค่าใช้จ่ายสูง</t>
  </si>
  <si>
    <t>ฮาร์ดแวร์ที่ต้องติดตั้งในรถ</t>
  </si>
  <si>
    <r>
      <t>ไม่ต้อง</t>
    </r>
    <r>
      <rPr>
        <b/>
        <sz val="11"/>
        <color rgb="FF008000"/>
        <rFont val="Arial"/>
        <charset val="1"/>
      </rPr>
      <t xml:space="preserve"> — </t>
    </r>
    <r>
      <rPr>
        <b/>
        <sz val="11"/>
        <color rgb="FF008000"/>
        <rFont val="Tahoma"/>
        <charset val="1"/>
      </rPr>
      <t>ทำงานผ่านแอปมือถือคนขับ</t>
    </r>
    <r>
      <rPr>
        <b/>
        <sz val="11"/>
        <color rgb="FF008000"/>
        <rFont val="Arial"/>
        <charset val="1"/>
      </rPr>
      <t xml:space="preserve"> </t>
    </r>
    <r>
      <rPr>
        <b/>
        <sz val="11"/>
        <color rgb="FF008000"/>
        <rFont val="Tahoma"/>
        <charset val="1"/>
      </rPr>
      <t>ใช้</t>
    </r>
    <r>
      <rPr>
        <b/>
        <sz val="11"/>
        <color rgb="FF008000"/>
        <rFont val="Arial"/>
        <charset val="1"/>
      </rPr>
      <t xml:space="preserve"> GPS </t>
    </r>
    <r>
      <rPr>
        <b/>
        <sz val="11"/>
        <color rgb="FF008000"/>
        <rFont val="Tahoma"/>
        <charset val="1"/>
      </rPr>
      <t>ของโทรศัพท์</t>
    </r>
    <r>
      <rPr>
        <b/>
        <sz val="11"/>
        <color rgb="FF008000"/>
        <rFont val="Arial"/>
        <charset val="1"/>
      </rPr>
      <t xml:space="preserve"> </t>
    </r>
    <r>
      <rPr>
        <b/>
        <sz val="11"/>
        <color rgb="FF008000"/>
        <rFont val="Tahoma"/>
        <charset val="1"/>
      </rPr>
      <t>ลด</t>
    </r>
    <r>
      <rPr>
        <b/>
        <sz val="11"/>
        <color rgb="FF008000"/>
        <rFont val="Arial"/>
        <charset val="1"/>
      </rPr>
      <t xml:space="preserve"> lead time </t>
    </r>
    <r>
      <rPr>
        <b/>
        <sz val="11"/>
        <color rgb="FF008000"/>
        <rFont val="Tahoma"/>
        <charset val="1"/>
      </rPr>
      <t>และต้นทุนติดตั้ง</t>
    </r>
    <r>
      <rPr>
        <b/>
        <sz val="11"/>
        <color rgb="FF008000"/>
        <rFont val="Arial"/>
        <charset val="1"/>
      </rPr>
      <t>(</t>
    </r>
    <r>
      <rPr>
        <b/>
        <sz val="11"/>
        <color rgb="FF008000"/>
        <rFont val="Tahoma"/>
        <charset val="1"/>
      </rPr>
      <t>ทำเพิ่ม-tracking with GPS as current</t>
    </r>
    <r>
      <rPr>
        <b/>
        <sz val="11"/>
        <color rgb="FF008000"/>
        <rFont val="Arial"/>
        <charset val="1"/>
      </rPr>
      <t>)</t>
    </r>
  </si>
  <si>
    <t>ต้องติดตั้งกล่อง GPS ตามมาตรฐาน DLT มีต้นทุนฮาร์ดแวร์+ติดตั้งต่อคัน</t>
  </si>
  <si>
    <t>ส่วนใหญ่ต้องมี hardware/OBD device หรือ integration เพิ่มเติม</t>
  </si>
  <si>
    <t>รองรับโครงสร้างเครือข่ายแบบไทย (SPX/SPK, Hub-SOC)</t>
  </si>
  <si>
    <t>ออกแบบเฉพาะ — แยกกลุ่มเครือข่าย Shopee(SPX) กับ J&amp;T/SPK ตั้งแต่ระดับระยะทางถึง rate card</t>
  </si>
  <si>
    <t>ไม่รองรับ — เป็น tracking ทั่วไป ไม่ผูกกับ business logic ขนส่งพัสดุ</t>
  </si>
  <si>
    <t>ไม่มี out-of-the-box ต้อง custom development เพิ่มเองทั้งหมด</t>
  </si>
  <si>
    <t>Multi-drop delivery ต่อเที่ยว</t>
  </si>
  <si>
    <t>มีในตัว พร้อม flat extra-stop fee logic และแยกรูปหลักฐานตามจุดส่ง</t>
  </si>
  <si>
    <t>ไม่มี — แสดงได้แค่ตำแหน่ง ไม่มี concept ของงานส่งหลายจุดต่อเที่ยว</t>
  </si>
  <si>
    <t>มีในบางแพ็กเกจระดับสูง ต้องจ่ายเพิ่ม</t>
  </si>
  <si>
    <t>Customer self-service portal (ลูกค้าของลูกค้าดูงานเองได้)</t>
  </si>
  <si>
    <t>มีในตัว — customerScopeId จำกัดสิทธิ์เห็นเฉพาะข้อมูลของตัวเอง</t>
  </si>
  <si>
    <t>ไม่มี</t>
  </si>
  <si>
    <t>มีในบางแพลตฟอร์ม แต่ setup ซับซ้อนและมักมีค่าใช้จ่ายเพิ่ม</t>
  </si>
  <si>
    <t>รองรับหลายนิติบุคคล (multi-company) ในระบบเดียว</t>
  </si>
  <si>
    <t>มีในตัว — ตั้งค่า profile/ลายเซ็นแยกต่อบริษัทได้ ออกบิลแยกนิติบุคคล</t>
  </si>
  <si>
    <t>ไม่รองรับ ต้องแยกระบบต่อบริษัท</t>
  </si>
  <si>
    <t>รองรับ แต่ต้องซื้อ license แยกต่อ entity ส่วนใหญ่</t>
  </si>
  <si>
    <t>RBAC / Security Center ระดับองค์กร</t>
  </si>
  <si>
    <t>มีในตัว — capability-based role, audit log, force logout, ตรวจสอบเวอร์ชันแอปคนขับจาก admin</t>
  </si>
  <si>
    <t>จำกัดมาก ส่วนใหญ่มีแค่ login เดียวหรือสิทธิ์ตายตัว</t>
  </si>
  <si>
    <t>มีครบ แต่เป็น add-on ราคาสูงและ configuration ซับซ้อน</t>
  </si>
  <si>
    <t>ความเป็นเจ้าของระบบ / ผูกติด vendor</t>
  </si>
  <si>
    <t>เลือกได้ — โมเดลขายขาดให้ลูกค้าเป็นเจ้าของซอร์สโค้ดจริง ปรับแต่งต่อได้เอง</t>
  </si>
  <si>
    <t>SaaS ปิด ผูกกับ vendor ตลอดอายุการใช้งาน</t>
  </si>
  <si>
    <t>SaaS ปิด หรือ license ผูก vendor เช่นกัน ค่าเปลี่ยนระบบ (switching cost) สูงมาก</t>
  </si>
  <si>
    <t>ความเร็วในการ deploy เริ่มใช้งาน</t>
  </si>
  <si>
    <t>เร็ว — ไม่ต้องรอฮาร์ดแวร์ ติดตั้งแอปและ config ได้ภายในไม่กี่วัน</t>
  </si>
  <si>
    <t>ปานกลาง — ต้องรอคิวติดตั้งฮาร์ดแวร์ต่อคัน</t>
  </si>
  <si>
    <t>ช้า — โครงการ implement มักใช้เวลาหลายเดือนถึงเป็นปี</t>
  </si>
  <si>
    <t>รองรับภาษาไทยแบบเต็มรูปแบบ (ระบบ+เอกสาร)</t>
  </si>
  <si>
    <t>ใช่ — UI ไทย/อังกฤษครบ, บิลมี bahttext ภาษาไทย, หัก ณ ที่จ่ายอัตโนมัติ</t>
  </si>
  <si>
    <t>บางส่วน มักเน้นเฉพาะ dashboard tracking</t>
  </si>
  <si>
    <t>มักเป็นภาษาอังกฤษเป็นหลัก ต้อง localize เพิ่ม</t>
  </si>
  <si>
    <t>Vehicle maintenance &amp; ค่าใช้จ่ายรถ (PM/CM)</t>
  </si>
  <si>
    <t>มีในตัว รวมกับข้อมูลกองรถและต้นทุนต่อคันในระบบเดียว</t>
  </si>
  <si>
    <t>มีในบางแพ็กเกจระดับ enterprise เท่านั้น</t>
  </si>
  <si>
    <t>สรุป:</t>
  </si>
  <si>
    <t>• เทียบกับ GPS Tracking ไทย: เราไม่ใช่แค่ tracking แต่เป็นระบบปฏิบัติการ+บัญชีครบวงจร ไม่ต้องใช้ฮาร์ดแวร์ deploy ไว กว่ามาก</t>
  </si>
  <si>
    <t>• เทียบกับ Enterprise TMS ต่างประเทศ: เราถูกกว่ามาก, deploy เร็วกว่ามาก, และมี business logic เฉพาะตลาดไทย/เครือข่ายพัสดุที่ระบบต่างประเทศไม่มีให้ off-the-shelf</t>
  </si>
  <si>
    <t>• จุดต่างที่ชัดที่สุด: โมเดลขายขาดให้ลูกค้าเป็นเจ้าของระบบได้จริง — แทบไม่มีคู่แข่งรายใดในตลาดเสนอทางเลือกนี้</t>
  </si>
  <si>
    <t>• ข้อมูลคู่แข่งเป็นภาพรวมจากตลาดทั่วไป ควรอัปเดตเมื่อมีข้อมูลราคา/ฟีเจอร์ล่าสุดของคู่แข่งแต่ละรายจริง</t>
  </si>
  <si>
    <t>โมเดล 1: ขายขาด (One-time License) + ค่า MA รายปี</t>
  </si>
  <si>
    <t>MA ปีที่ 1 รวมอยู่ในค่า License แล้ว (ฟรี) — เริ่มเก็บค่า MA ตั้งแต่ปีที่ 2 เป็นต้นไป ตามอัตรา % ที่ตั้งไว้ต่อ tier</t>
  </si>
  <si>
    <t>Tier</t>
  </si>
  <si>
    <t>ขนาดกองรถ (คัน)</t>
  </si>
  <si>
    <t>จำนวนบริษัท (multi-tenant)</t>
  </si>
  <si>
    <t>ค่า License (ครั้งเดียว)</t>
  </si>
  <si>
    <t>อัตรา MA/ปี (%)</t>
  </si>
  <si>
    <t>ค่า MA/ปี (บาท)</t>
  </si>
  <si>
    <t>รวม 3 ปี (License + MA ปี2-3)</t>
  </si>
  <si>
    <t>รายละเอียดที่รวมอยู่</t>
  </si>
  <si>
    <t>Starter</t>
  </si>
  <si>
    <t>1 – 30</t>
  </si>
  <si>
    <t>1 บริษัท</t>
  </si>
  <si>
    <t>Core TMS (mobile driver app + web admin), first-mile/line-haul, driver monitor, fuel &amp; vehicle expense, basic maintenance log, RBAC พื้นฐาน, deploy on ลูกค้า/Firebase project เดียว</t>
  </si>
  <si>
    <t>Growth</t>
  </si>
  <si>
    <t>31 – 100</t>
  </si>
  <si>
    <t>1 บริษัท (เพิ่ม multi-company ได้เป็น add-on)</t>
  </si>
  <si>
    <t>ทุกอย่างใน Starter + Billing/Rate Card engine, multi-drop &amp; standby billing, hub-SOC distance matrix, security center, audit log, CI/CD deploy pipeline</t>
  </si>
  <si>
    <t>Enterprise</t>
  </si>
  <si>
    <t>101 – 300</t>
  </si>
  <si>
    <t>สูงสุด 3 บริษัทในกลุ่ม</t>
  </si>
  <si>
    <t>ทุกอย่างใน Growth + customer portal (customerScopeId), company profile หลายบริษัท, priority onboarding, custom rate card template, dedicated Firebase project</t>
  </si>
  <si>
    <t>Enterprise+ / Group</t>
  </si>
  <si>
    <t>300+</t>
  </si>
  <si>
    <t>unlimited (ตามตกลง)</t>
  </si>
  <si>
    <t>ขอใบเสนอราคา (Quote)</t>
  </si>
  <si>
    <t>-</t>
  </si>
  <si>
    <t>Custom scope — ใบเสนอราคาแยกตามจำนวนบริษัท/กองรถ/ฟีเจอร์เสริม (white-label, on-prem option, SLA พิเศษ)</t>
  </si>
  <si>
    <t>หมายเหตุ:</t>
  </si>
  <si>
    <t>• ค่า License รวม: ติดตั้งระบบ (mobile + web), data migration เบื้องต้น, training ทีมงาน 1 รอบ, MA ปีที่ 1 ฟรี</t>
  </si>
  <si>
    <t>• MA ครอบคลุม: bug fix, security patch, minor feature update, support ตามเวลาทำการ (ไม่รวม feature ใหม่ขนาดใหญ่)</t>
  </si>
  <si>
    <t>• Custom feature/integration นอกสโคป คิดแยกเป็นโปรเจกต์เพิ่มเติม (ดูชีท Add-ons)</t>
  </si>
  <si>
    <t>• เหมาะกับลูกค้าที่ต้องการเป็นเจ้าของระบบ (on-prem/dedicated) และมี budget capex ชัดเจน</t>
  </si>
  <si>
    <t>โมเดล 2: ค่าบริการรายคันต่อเดือน (Per-Vehicle Subscription / SaaS)</t>
  </si>
  <si>
    <t>รวม hosting, การอัปเดตระบบ, และ support ไว้ในราคาแล้ว — ไม่มีค่า License แยก | จ่ายรายปีล่วงหน้ารับส่วนลด 2 เดือน (~16.7%)</t>
  </si>
  <si>
    <t>ช่วงจำนวนคัน</t>
  </si>
  <si>
    <t>ราคา/คัน/เดือน (บาท)</t>
  </si>
  <si>
    <t>ค่า Setup ครั้งเดียว</t>
  </si>
  <si>
    <t>ตัวอย่างรายได้/เดือน (กึ่งกลางช่วง)</t>
  </si>
  <si>
    <t>ต้นทุน/เดือน (อ้างอิง Assumptions)</t>
  </si>
  <si>
    <t>Gross Margin ที่ได้จริง</t>
  </si>
  <si>
    <t>ราคาขั้นต่ำที่แนะนำ</t>
  </si>
  <si>
    <t>ผ่านเกณฑ์ margin เป้าหมาย?</t>
  </si>
  <si>
    <t>Tier 1 — Starter</t>
  </si>
  <si>
    <t>1 – 20</t>
  </si>
  <si>
    <t>Tier 2 — Growth</t>
  </si>
  <si>
    <t>21 – 100</t>
  </si>
  <si>
    <t>Tier 3 — Scale</t>
  </si>
  <si>
    <t>Tier 4 — Enterprise</t>
  </si>
  <si>
    <t>301+ (custom)</t>
  </si>
  <si>
    <t>เจรจาต่อรอง (~450 เป็นจุดอ้างอิง)</t>
  </si>
  <si>
    <t>เจรจาต่อรอง</t>
  </si>
  <si>
    <t>• ราคาต่อคันเป็นแบบ tiered (ไม่ใช่ blended) — ลูกค้าจ่ายตามอัตรา tier ที่กองรถของตัวเองอยู่ ไม่ใช่ขั้นบันไดสะสม</t>
  </si>
  <si>
    <t>• ค่า Setup ครอบคลุม: data migration, ตั้งค่า hub/rate card เริ่มต้น, training ทีมงาน 1 รอบ</t>
  </si>
  <si>
    <t>• สัญญาขั้นต่ำแนะนำ 12 เดือน; ยกเลิกก่อนกำหนดคิดค่า setup คืนตามสัดส่วน</t>
  </si>
  <si>
    <t>• เหมาะกับลูกค้าที่ต้องการ opex ล้วน ไม่มี capex ก้อนใหญ่ และต้องการให้ผู้พัฒนาดูแล hosting/อัปเดตให้ตลอด</t>
  </si>
  <si>
    <t>บริการเสริม / Add-ons (ใช้ได้ทั้ง 2 โมเดล)</t>
  </si>
  <si>
    <t>บริการเสริม</t>
  </si>
  <si>
    <t>ราคา</t>
  </si>
  <si>
    <t>หมายเหตุ</t>
  </si>
  <si>
    <t>บริษัทเพิ่มเติม (multi-company / companyScope)</t>
  </si>
  <si>
    <t>บาท/บริษัท/ปี</t>
  </si>
  <si>
    <t>สำหรับกลุ่มธุรกิจที่มีหลายนิติบุคคลออกบิลแยกกัน</t>
  </si>
  <si>
    <t>Priority Support SLA (ตอบกลับ &lt;2 ชม., 24/7)</t>
  </si>
  <si>
    <t>บาท/เดือน</t>
  </si>
  <si>
    <t>จากมาตรฐาน 1 วันทำการ</t>
  </si>
  <si>
    <t>ตั้งค่า Rate Card / Hub-SOC เพิ่มเติมนอกสโคป</t>
  </si>
  <si>
    <t>บาท/ชั่วโมง</t>
  </si>
  <si>
    <t>อัตรา implementation consultant</t>
  </si>
  <si>
    <t>Training เพิ่มเติม (on-site)</t>
  </si>
  <si>
    <t>บาท/วัน</t>
  </si>
  <si>
    <t>ไม่รวมค่าเดินทาง</t>
  </si>
  <si>
    <t>White-label branding (โลโก้/สี/โดเมนลูกค้า)</t>
  </si>
  <si>
    <t>บาท ครั้งเดียว</t>
  </si>
  <si>
    <t>เฉพาะ Model 1 Enterprise+ ขึ้นไป</t>
  </si>
  <si>
    <t>Data migration จากระบบเดิม (นอกเหนือ setup พื้นฐาน)</t>
  </si>
  <si>
    <t>บาท/โปรเจกต์</t>
  </si>
  <si>
    <t>ประเมินตามความซับซ้อนข้อมูลจริง</t>
  </si>
  <si>
    <t>พื้นที่เก็บรูปภาพ/เอกสารเพิ่ม (เกิน quota มาตรฐาน)</t>
  </si>
  <si>
    <t>บาท/10GB/เดือน</t>
  </si>
  <si>
    <t>pass-through ต้นทุน Firebase Storage</t>
  </si>
  <si>
    <t>SMS/แจ้งเตือนนอกระบบ (ถ้ามีการเชื่อมต่อ)</t>
  </si>
  <si>
    <t>ตามต้นทุนจริง +15%</t>
  </si>
  <si>
    <t>บาท/ข้อความ</t>
  </si>
  <si>
    <t>pass-through cost บวก margin</t>
  </si>
  <si>
    <t>Custom feature / integration พิเศษ</t>
  </si>
  <si>
    <t>ขอใบเสนอราคา</t>
  </si>
  <si>
    <t>ประเมินเป็นโปรเจกต์แยก (man-day based)</t>
  </si>
  <si>
    <t>เปรียบเทียบต้นทุนรวม 3 ปี (TCO) — Model 1 vs Model 2</t>
  </si>
  <si>
    <t>ตัวเลขดึงจากราคาที่ตั้งไว้ในชีท Model 1 และ Model 2 โดยอัตโนมัติ — ปรับราคา tier แล้วตารางนี้จะอัปเดตเอง</t>
  </si>
  <si>
    <t>ขนาดกองรถตัวอย่าง (คัน)</t>
  </si>
  <si>
    <t>Model 1: License + MA (2 ปีถัดไป) รวม 3 ปี</t>
  </si>
  <si>
    <t>Model 2: รายคัน x 36 เดือน + Setup รวม 3 ปี</t>
  </si>
  <si>
    <t>ส่วนต่าง</t>
  </si>
  <si>
    <t>โมเดลที่ถูกกว่าใน 3 ปี</t>
  </si>
  <si>
    <t>ข้อเสนอแนะ</t>
  </si>
  <si>
    <t>20 คัน (Starter)</t>
  </si>
  <si>
    <t>เลือกตาม cash flow: Model 1 ถ้ามี capex, Model 2 ถ้าต้องการ opex ล้วน</t>
  </si>
  <si>
    <t>60 คัน (Growth)</t>
  </si>
  <si>
    <t>150 คัน (Scale/Enterprise)</t>
  </si>
  <si>
    <t>สรุปการเลือกใช้โมเดล:</t>
  </si>
  <si>
    <t>• Model 1 (ขายขาด+MA) เหมาะกับ: ลูกค้าองค์กร/3PL ที่มีงบ capex ชัดเจน ต้องการ 'เป็นเจ้าของระบบ', ต้องการ data residency/dedicated infra, มองเป็นสินทรัพย์ระยะยาว</t>
  </si>
  <si>
    <t>• Model 2 (รายคัน/เดือน) เหมาะกับ: ลูกค้า SME ที่กองรถยังไม่นิ่ง (ขยาย/หดตัวได้), ต้องการเริ่มต้นต้นทุนต่ำ, ไม่อยากดูแล infra เอง, ทดลองระบบก่อนตัดสินใจระยะยาว</t>
  </si>
  <si>
    <t>• ทั้งสองโมเดลถูกออกแบบให้ TCO 3 ปีใกล้เคียงกันในแต่ละ tier (ดูตารางด้านบน) — ความต่างหลักคือจังหวะกระแสเงินสด ไม่ใช่ราคารวม</t>
  </si>
  <si>
    <t>• แนะนำให้เสนอทั้ง 2 โมเดลคู่กันเสมอ แล้วให้ลูกค้าเลือกตามนโยบายการเงินของบริษัทตัวเอง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</si>
</sst>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  <numFmt numFmtId="180" formatCode="#,##0&quot; ฿&quot;;\(#,##0&quot; ฿)&quot;"/>
    <numFmt numFmtId="181" formatCode="0.0%"/>
  </numFmts>
  <fonts count="36">
    <font>
      <sz val="11"/>
      <color theme="1"/>
      <name val="Calibri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8000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i/>
      <sz val="11"/>
      <color rgb="FF7F7F7F"/>
      <name val="Arial"/>
      <charset val="1"/>
    </font>
    <font>
      <b/>
      <sz val="11"/>
      <color rgb="FF008000"/>
      <name val="Arial"/>
      <charset val="1"/>
    </font>
    <font>
      <b/>
      <sz val="11"/>
      <color rgb="FFC00000"/>
      <name val="Arial"/>
      <charset val="1"/>
    </font>
    <font>
      <b/>
      <sz val="11"/>
      <color rgb="FFBF8F00"/>
      <name val="Arial"/>
      <charset val="1"/>
    </font>
    <font>
      <b/>
      <sz val="11"/>
      <color rgb="FF008000"/>
      <name val="Tahoma"/>
      <charset val="1"/>
    </font>
    <font>
      <sz val="11"/>
      <color theme="1"/>
      <name val="DejaVu Sans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Border="0" applyAlignment="0" applyProtection="0"/>
    <xf numFmtId="177" fontId="15" fillId="0" borderId="0" applyBorder="0" applyAlignment="0" applyProtection="0"/>
    <xf numFmtId="9" fontId="15" fillId="0" borderId="0" applyBorder="0" applyAlignment="0" applyProtection="0"/>
    <xf numFmtId="178" fontId="15" fillId="0" borderId="0" applyBorder="0" applyAlignment="0" applyProtection="0"/>
    <xf numFmtId="179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6" applyNumberFormat="0" applyAlignment="0" applyProtection="0">
      <alignment vertical="center"/>
    </xf>
    <xf numFmtId="0" fontId="27" fillId="8" borderId="5" applyNumberFormat="0" applyAlignment="0" applyProtection="0">
      <alignment vertical="center"/>
    </xf>
    <xf numFmtId="0" fontId="28" fillId="9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180" fontId="5" fillId="0" borderId="1" xfId="0" applyNumberFormat="1" applyFont="1" applyBorder="1" applyAlignment="1"/>
    <xf numFmtId="180" fontId="4" fillId="0" borderId="1" xfId="0" applyNumberFormat="1" applyFont="1" applyBorder="1" applyAlignment="1"/>
    <xf numFmtId="0" fontId="6" fillId="0" borderId="1" xfId="0" applyFont="1" applyBorder="1" applyAlignment="1"/>
    <xf numFmtId="0" fontId="2" fillId="0" borderId="1" xfId="0" applyFont="1" applyBorder="1" applyAlignment="1"/>
    <xf numFmtId="0" fontId="7" fillId="0" borderId="0" xfId="0" applyFont="1" applyAlignment="1"/>
    <xf numFmtId="0" fontId="4" fillId="0" borderId="1" xfId="0" applyFont="1" applyBorder="1" applyAlignment="1">
      <alignment vertical="top" wrapText="1"/>
    </xf>
    <xf numFmtId="3" fontId="8" fillId="3" borderId="1" xfId="0" applyNumberFormat="1" applyFont="1" applyFill="1" applyBorder="1" applyAlignment="1"/>
    <xf numFmtId="0" fontId="2" fillId="0" borderId="1" xfId="0" applyFont="1" applyBorder="1" applyAlignment="1">
      <alignment vertical="top" wrapText="1"/>
    </xf>
    <xf numFmtId="0" fontId="9" fillId="0" borderId="1" xfId="0" applyFont="1" applyBorder="1" applyAlignment="1"/>
    <xf numFmtId="0" fontId="7" fillId="4" borderId="1" xfId="0" applyFont="1" applyFill="1" applyBorder="1" applyAlignment="1"/>
    <xf numFmtId="180" fontId="8" fillId="3" borderId="1" xfId="0" applyNumberFormat="1" applyFont="1" applyFill="1" applyBorder="1" applyAlignment="1"/>
    <xf numFmtId="181" fontId="4" fillId="0" borderId="1" xfId="0" applyNumberFormat="1" applyFont="1" applyBorder="1" applyAlignment="1"/>
    <xf numFmtId="0" fontId="0" fillId="0" borderId="1" xfId="0" applyBorder="1" applyAlignment="1"/>
    <xf numFmtId="181" fontId="8" fillId="3" borderId="1" xfId="0" applyNumberFormat="1" applyFont="1" applyFill="1" applyBorder="1" applyAlignment="1"/>
    <xf numFmtId="0" fontId="1" fillId="0" borderId="0" xfId="0" applyFont="1"/>
    <xf numFmtId="0" fontId="2" fillId="0" borderId="0" xfId="0" applyFont="1" applyBorder="1"/>
    <xf numFmtId="0" fontId="7" fillId="4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7" fillId="0" borderId="0" xfId="0" applyFont="1"/>
    <xf numFmtId="0" fontId="7" fillId="0" borderId="1" xfId="0" applyFont="1" applyBorder="1" applyAlignment="1"/>
    <xf numFmtId="0" fontId="14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7F7F7F"/>
      <rgbColor rgb="009999FF"/>
      <rgbColor rgb="00993366"/>
      <rgbColor rgb="00FFFFCC"/>
      <rgbColor rgb="00CCFFFF"/>
      <rgbColor rgb="00660066"/>
      <rgbColor rgb="00FF8080"/>
      <rgbColor rgb="000066CC"/>
      <rgbColor rgb="00D9E2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F8F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pane ySplit="4" topLeftCell="A6" activePane="bottomLeft" state="frozen"/>
      <selection/>
      <selection pane="bottomLeft" activeCell="A1" sqref="A1"/>
    </sheetView>
  </sheetViews>
  <sheetFormatPr defaultColWidth="8.68181818181818" defaultRowHeight="14.5" outlineLevelCol="5"/>
  <cols>
    <col min="1" max="1" width="46" style="1" customWidth="1"/>
    <col min="2" max="2" width="14" style="1" customWidth="1"/>
    <col min="3" max="3" width="16" style="1" customWidth="1"/>
    <col min="4" max="4" width="46" style="1" customWidth="1"/>
  </cols>
  <sheetData>
    <row r="1" ht="16.5" customHeight="1" spans="1:6">
      <c r="A1" s="2" t="s">
        <v>0</v>
      </c>
    </row>
    <row r="2" ht="12" customHeight="1" spans="1:6">
      <c r="A2" s="3" t="s">
        <v>1</v>
      </c>
      <c r="B2" s="3"/>
      <c r="C2" s="3"/>
      <c r="D2" s="3"/>
      <c r="E2" s="3"/>
      <c r="F2" s="3"/>
    </row>
    <row r="4" ht="15" customHeight="1" spans="1:6">
      <c r="A4" s="4" t="s">
        <v>2</v>
      </c>
      <c r="B4" s="4" t="s">
        <v>3</v>
      </c>
      <c r="C4" s="4" t="s">
        <v>4</v>
      </c>
      <c r="D4" s="4" t="s">
        <v>5</v>
      </c>
    </row>
    <row r="5" ht="39" customHeight="1" spans="1:6">
      <c r="A5" s="11" t="s">
        <v>6</v>
      </c>
      <c r="B5" s="12">
        <v>60</v>
      </c>
      <c r="C5" s="5" t="s">
        <v>7</v>
      </c>
      <c r="D5" s="13" t="s">
        <v>8</v>
      </c>
    </row>
    <row r="6" ht="26.25" customHeight="1" spans="1:6">
      <c r="A6" s="11" t="s">
        <v>9</v>
      </c>
      <c r="B6" s="12">
        <v>3000</v>
      </c>
      <c r="C6" s="5" t="s">
        <v>10</v>
      </c>
      <c r="D6" s="13" t="s">
        <v>11</v>
      </c>
    </row>
    <row r="7" ht="26.25" customHeight="1" spans="1:6">
      <c r="A7" s="11" t="s">
        <v>12</v>
      </c>
      <c r="B7" s="12">
        <v>40</v>
      </c>
      <c r="C7" s="5" t="s">
        <v>13</v>
      </c>
      <c r="D7" s="13" t="s">
        <v>14</v>
      </c>
    </row>
    <row r="8" ht="26.25" customHeight="1" spans="1:6">
      <c r="A8" s="11" t="s">
        <v>15</v>
      </c>
      <c r="B8" s="19">
        <v>0.7</v>
      </c>
      <c r="C8" s="5" t="s">
        <v>16</v>
      </c>
      <c r="D8" s="13" t="s">
        <v>17</v>
      </c>
    </row>
    <row r="9" ht="26.25" customHeight="1" spans="1:6">
      <c r="A9" s="11" t="s">
        <v>18</v>
      </c>
      <c r="B9" s="19">
        <v>0.55</v>
      </c>
      <c r="C9" s="5" t="s">
        <v>16</v>
      </c>
      <c r="D9" s="13" t="s">
        <v>19</v>
      </c>
    </row>
    <row r="10" ht="26.25" customHeight="1" spans="1:6">
      <c r="A10" s="11" t="s">
        <v>20</v>
      </c>
      <c r="B10" s="12">
        <v>1800000</v>
      </c>
      <c r="C10" s="5" t="s">
        <v>21</v>
      </c>
      <c r="D10" s="13" t="s">
        <v>22</v>
      </c>
    </row>
    <row r="11" ht="15" customHeight="1" spans="1:6">
      <c r="A11" s="11" t="s">
        <v>23</v>
      </c>
      <c r="B11" s="19">
        <v>0.18</v>
      </c>
      <c r="C11" s="5" t="s">
        <v>16</v>
      </c>
      <c r="D11" s="13" t="s">
        <v>24</v>
      </c>
    </row>
    <row r="12" ht="26.25" customHeight="1" spans="1:6">
      <c r="A12" s="11" t="s">
        <v>25</v>
      </c>
      <c r="B12" s="12">
        <v>15000</v>
      </c>
      <c r="C12" s="5" t="s">
        <v>21</v>
      </c>
      <c r="D12" s="13" t="s">
        <v>26</v>
      </c>
    </row>
    <row r="15" ht="15" customHeight="1" spans="1:6">
      <c r="A15" s="28" t="s">
        <v>27</v>
      </c>
      <c r="B15" s="18"/>
      <c r="C15" s="18"/>
    </row>
    <row r="16" ht="15" customHeight="1" spans="1:6">
      <c r="A16" s="5" t="s">
        <v>28</v>
      </c>
      <c r="B16" s="7">
        <f>$B$5+$B$6/$B$7</f>
        <v>135</v>
      </c>
      <c r="C16" s="29" t="s">
        <v>7</v>
      </c>
    </row>
    <row r="17" ht="15" customHeight="1" spans="1:3">
      <c r="A17" s="5" t="s">
        <v>29</v>
      </c>
      <c r="B17" s="7">
        <f>B16/(1-$B$8)</f>
        <v>450</v>
      </c>
      <c r="C17" s="29" t="s">
        <v>7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pane ySplit="4" topLeftCell="A5" activePane="bottomLeft" state="frozen"/>
      <selection/>
      <selection pane="bottomLeft" activeCell="B7" sqref="B7"/>
    </sheetView>
  </sheetViews>
  <sheetFormatPr defaultColWidth="8.68181818181818" defaultRowHeight="14.5" outlineLevelCol="3"/>
  <cols>
    <col min="1" max="1" width="30" customWidth="1"/>
    <col min="2" max="2" width="42" customWidth="1"/>
    <col min="3" max="4" width="34" customWidth="1"/>
  </cols>
  <sheetData>
    <row r="1" ht="18" spans="1:4">
      <c r="A1" s="20" t="s">
        <v>30</v>
      </c>
    </row>
    <row r="2" ht="30" customHeight="1" spans="1:4">
      <c r="A2" s="21" t="s">
        <v>31</v>
      </c>
      <c r="B2" s="21"/>
      <c r="C2" s="21"/>
      <c r="D2" s="21"/>
    </row>
    <row r="4" ht="31.5" customHeight="1" spans="1:4">
      <c r="A4" s="4" t="s">
        <v>32</v>
      </c>
      <c r="B4" s="4" t="s">
        <v>33</v>
      </c>
      <c r="C4" s="4" t="s">
        <v>34</v>
      </c>
      <c r="D4" s="4" t="s">
        <v>35</v>
      </c>
    </row>
    <row r="5" ht="57.75" customHeight="1" spans="1:4">
      <c r="A5" s="22" t="s">
        <v>36</v>
      </c>
      <c r="B5" s="23" t="s">
        <v>37</v>
      </c>
      <c r="C5" s="24" t="s">
        <v>38</v>
      </c>
      <c r="D5" s="25" t="s">
        <v>39</v>
      </c>
    </row>
    <row r="6" ht="57.75" customHeight="1" spans="1:4">
      <c r="A6" s="22" t="s">
        <v>40</v>
      </c>
      <c r="B6" s="26" t="s">
        <v>41</v>
      </c>
      <c r="C6" s="24" t="s">
        <v>42</v>
      </c>
      <c r="D6" s="25" t="s">
        <v>43</v>
      </c>
    </row>
    <row r="7" ht="57.75" customHeight="1" spans="1:4">
      <c r="A7" s="22" t="s">
        <v>44</v>
      </c>
      <c r="B7" s="23" t="s">
        <v>45</v>
      </c>
      <c r="C7" s="24" t="s">
        <v>46</v>
      </c>
      <c r="D7" s="24" t="s">
        <v>47</v>
      </c>
    </row>
    <row r="8" ht="57.75" customHeight="1" spans="1:4">
      <c r="A8" s="22" t="s">
        <v>48</v>
      </c>
      <c r="B8" s="23" t="s">
        <v>49</v>
      </c>
      <c r="C8" s="24" t="s">
        <v>50</v>
      </c>
      <c r="D8" s="25" t="s">
        <v>51</v>
      </c>
    </row>
    <row r="9" ht="57.75" customHeight="1" spans="1:4">
      <c r="A9" s="22" t="s">
        <v>52</v>
      </c>
      <c r="B9" s="23" t="s">
        <v>53</v>
      </c>
      <c r="C9" s="24" t="s">
        <v>54</v>
      </c>
      <c r="D9" s="25" t="s">
        <v>55</v>
      </c>
    </row>
    <row r="10" ht="57.75" customHeight="1" spans="1:4">
      <c r="A10" s="22" t="s">
        <v>56</v>
      </c>
      <c r="B10" s="23" t="s">
        <v>57</v>
      </c>
      <c r="C10" s="24" t="s">
        <v>58</v>
      </c>
      <c r="D10" s="25" t="s">
        <v>59</v>
      </c>
    </row>
    <row r="11" ht="57.75" customHeight="1" spans="1:4">
      <c r="A11" s="22" t="s">
        <v>60</v>
      </c>
      <c r="B11" s="23" t="s">
        <v>61</v>
      </c>
      <c r="C11" s="24" t="s">
        <v>62</v>
      </c>
      <c r="D11" s="25" t="s">
        <v>63</v>
      </c>
    </row>
    <row r="12" ht="57.75" customHeight="1" spans="1:4">
      <c r="A12" s="22" t="s">
        <v>64</v>
      </c>
      <c r="B12" s="23" t="s">
        <v>65</v>
      </c>
      <c r="C12" s="24" t="s">
        <v>66</v>
      </c>
      <c r="D12" s="24" t="s">
        <v>67</v>
      </c>
    </row>
    <row r="13" ht="57.75" customHeight="1" spans="1:4">
      <c r="A13" s="22" t="s">
        <v>68</v>
      </c>
      <c r="B13" s="23" t="s">
        <v>69</v>
      </c>
      <c r="C13" s="25" t="s">
        <v>70</v>
      </c>
      <c r="D13" s="24" t="s">
        <v>71</v>
      </c>
    </row>
    <row r="14" ht="57.75" customHeight="1" spans="1:4">
      <c r="A14" s="22" t="s">
        <v>72</v>
      </c>
      <c r="B14" s="23" t="s">
        <v>73</v>
      </c>
      <c r="C14" s="25" t="s">
        <v>74</v>
      </c>
      <c r="D14" s="24" t="s">
        <v>75</v>
      </c>
    </row>
    <row r="15" ht="57.75" customHeight="1" spans="1:4">
      <c r="A15" s="22" t="s">
        <v>76</v>
      </c>
      <c r="B15" s="23" t="s">
        <v>77</v>
      </c>
      <c r="C15" s="24" t="s">
        <v>54</v>
      </c>
      <c r="D15" s="25" t="s">
        <v>78</v>
      </c>
    </row>
    <row r="18" spans="1:4">
      <c r="A18" s="27" t="s">
        <v>79</v>
      </c>
    </row>
    <row r="19" ht="18" customHeight="1" spans="1:4">
      <c r="A19" s="21" t="s">
        <v>80</v>
      </c>
      <c r="B19" s="21"/>
      <c r="C19" s="21"/>
      <c r="D19" s="21"/>
    </row>
    <row r="20" ht="18" customHeight="1" spans="1:4">
      <c r="A20" s="21" t="s">
        <v>81</v>
      </c>
      <c r="B20" s="21"/>
      <c r="C20" s="21"/>
      <c r="D20" s="21"/>
    </row>
    <row r="21" ht="18" customHeight="1" spans="1:4">
      <c r="A21" s="21" t="s">
        <v>82</v>
      </c>
      <c r="B21" s="21"/>
      <c r="C21" s="21"/>
      <c r="D21" s="21"/>
    </row>
    <row r="22" ht="18" customHeight="1" spans="1:4">
      <c r="A22" s="21" t="s">
        <v>83</v>
      </c>
      <c r="B22" s="21"/>
      <c r="C22" s="21"/>
      <c r="D22" s="21"/>
    </row>
  </sheetData>
  <mergeCells count="5">
    <mergeCell ref="A2:D2"/>
    <mergeCell ref="A19:D19"/>
    <mergeCell ref="A20:D20"/>
    <mergeCell ref="A21:D21"/>
    <mergeCell ref="A22:D2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8.68181818181818" defaultRowHeight="14.5" outlineLevelCol="7"/>
  <cols>
    <col min="1" max="1" width="16" style="1" customWidth="1"/>
    <col min="2" max="2" width="13" style="1" customWidth="1"/>
    <col min="3" max="3" width="22" style="1" customWidth="1"/>
    <col min="4" max="4" width="16" style="1" customWidth="1"/>
    <col min="5" max="5" width="12" style="1" customWidth="1"/>
    <col min="6" max="6" width="14" style="1" customWidth="1"/>
    <col min="7" max="7" width="20" style="1" customWidth="1"/>
    <col min="8" max="8" width="46" style="1" customWidth="1"/>
  </cols>
  <sheetData>
    <row r="1" ht="16.5" customHeight="1" spans="1:8">
      <c r="A1" s="2" t="s">
        <v>84</v>
      </c>
    </row>
    <row r="2" ht="12" customHeight="1" spans="1:8">
      <c r="A2" s="3" t="s">
        <v>85</v>
      </c>
      <c r="B2" s="3"/>
      <c r="C2" s="3"/>
      <c r="D2" s="3"/>
      <c r="E2" s="3"/>
      <c r="F2" s="3"/>
      <c r="G2" s="3"/>
      <c r="H2" s="3"/>
    </row>
    <row r="4" ht="39" customHeight="1" spans="1:8">
      <c r="A4" s="4" t="s">
        <v>86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91</v>
      </c>
      <c r="G4" s="4" t="s">
        <v>92</v>
      </c>
      <c r="H4" s="4" t="s">
        <v>93</v>
      </c>
    </row>
    <row r="5" ht="60" customHeight="1" spans="1:8">
      <c r="A5" s="15" t="s">
        <v>94</v>
      </c>
      <c r="B5" s="11" t="s">
        <v>95</v>
      </c>
      <c r="C5" s="11" t="s">
        <v>96</v>
      </c>
      <c r="D5" s="16">
        <v>590000</v>
      </c>
      <c r="E5" s="19">
        <v>0.18</v>
      </c>
      <c r="F5" s="7">
        <f>D5*E5</f>
        <v>106200</v>
      </c>
      <c r="G5" s="7">
        <f>D5+F5*2</f>
        <v>802400</v>
      </c>
      <c r="H5" s="11" t="s">
        <v>97</v>
      </c>
    </row>
    <row r="6" ht="60" customHeight="1" spans="1:8">
      <c r="A6" s="15" t="s">
        <v>98</v>
      </c>
      <c r="B6" s="11" t="s">
        <v>99</v>
      </c>
      <c r="C6" s="11" t="s">
        <v>100</v>
      </c>
      <c r="D6" s="16">
        <v>1290000</v>
      </c>
      <c r="E6" s="19">
        <v>0.18</v>
      </c>
      <c r="F6" s="7">
        <f>D6*E6</f>
        <v>232200</v>
      </c>
      <c r="G6" s="7">
        <f>D6+F6*2</f>
        <v>1754400</v>
      </c>
      <c r="H6" s="11" t="s">
        <v>101</v>
      </c>
    </row>
    <row r="7" ht="60" customHeight="1" spans="1:8">
      <c r="A7" s="15" t="s">
        <v>102</v>
      </c>
      <c r="B7" s="11" t="s">
        <v>103</v>
      </c>
      <c r="C7" s="11" t="s">
        <v>104</v>
      </c>
      <c r="D7" s="16">
        <v>2490000</v>
      </c>
      <c r="E7" s="19">
        <v>0.16</v>
      </c>
      <c r="F7" s="7">
        <f>D7*E7</f>
        <v>398400</v>
      </c>
      <c r="G7" s="7">
        <f>D7+F7*2</f>
        <v>3286800</v>
      </c>
      <c r="H7" s="11" t="s">
        <v>105</v>
      </c>
    </row>
    <row r="8" ht="60" customHeight="1" spans="1:8">
      <c r="A8" s="15" t="s">
        <v>106</v>
      </c>
      <c r="B8" s="11" t="s">
        <v>107</v>
      </c>
      <c r="C8" s="11" t="s">
        <v>108</v>
      </c>
      <c r="D8" s="14" t="s">
        <v>109</v>
      </c>
      <c r="E8" s="19">
        <v>0.15</v>
      </c>
      <c r="F8" s="5" t="s">
        <v>110</v>
      </c>
      <c r="G8" s="5" t="s">
        <v>110</v>
      </c>
      <c r="H8" s="11" t="s">
        <v>111</v>
      </c>
    </row>
    <row r="11" ht="15" customHeight="1" spans="1:8">
      <c r="A11" s="10" t="s">
        <v>112</v>
      </c>
    </row>
    <row r="12" ht="12" customHeight="1" spans="1:8">
      <c r="A12" s="3" t="s">
        <v>113</v>
      </c>
      <c r="B12" s="3"/>
      <c r="C12" s="3"/>
      <c r="D12" s="3"/>
      <c r="E12" s="3"/>
      <c r="F12" s="3"/>
      <c r="G12" s="3"/>
      <c r="H12" s="3"/>
    </row>
    <row r="13" ht="12" customHeight="1" spans="1:8">
      <c r="A13" s="3" t="s">
        <v>114</v>
      </c>
      <c r="B13" s="3"/>
      <c r="C13" s="3"/>
      <c r="D13" s="3"/>
      <c r="E13" s="3"/>
      <c r="F13" s="3"/>
      <c r="G13" s="3"/>
      <c r="H13" s="3"/>
    </row>
    <row r="14" ht="12" customHeight="1" spans="1:8">
      <c r="A14" s="3" t="s">
        <v>115</v>
      </c>
      <c r="B14" s="3"/>
      <c r="C14" s="3"/>
      <c r="D14" s="3"/>
      <c r="E14" s="3"/>
      <c r="F14" s="3"/>
      <c r="G14" s="3"/>
      <c r="H14" s="3"/>
    </row>
    <row r="15" ht="12" customHeight="1" spans="1:8">
      <c r="A15" s="3" t="s">
        <v>116</v>
      </c>
      <c r="B15" s="3"/>
      <c r="C15" s="3"/>
      <c r="D15" s="3"/>
      <c r="E15" s="3"/>
      <c r="F15" s="3"/>
      <c r="G15" s="3"/>
      <c r="H15" s="3"/>
    </row>
  </sheetData>
  <mergeCells count="5">
    <mergeCell ref="A2:H2"/>
    <mergeCell ref="A12:H12"/>
    <mergeCell ref="A13:H13"/>
    <mergeCell ref="A14:H14"/>
    <mergeCell ref="A15:H1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8.68181818181818" defaultRowHeight="14.5"/>
  <cols>
    <col min="1" max="1" width="18" style="1" customWidth="1"/>
    <col min="2" max="2" width="14" style="1" customWidth="1"/>
    <col min="3" max="3" width="16" style="1" customWidth="1"/>
    <col min="4" max="4" width="14" style="1" customWidth="1"/>
    <col min="5" max="5" width="18" style="1" customWidth="1"/>
    <col min="6" max="6" width="20" style="1" customWidth="1"/>
    <col min="7" max="7" width="14" style="1" customWidth="1"/>
    <col min="8" max="9" width="16" style="1" customWidth="1"/>
  </cols>
  <sheetData>
    <row r="1" ht="16.5" customHeight="1" spans="1:9">
      <c r="A1" s="2" t="s">
        <v>117</v>
      </c>
    </row>
    <row r="2" ht="12" customHeight="1" spans="1:9">
      <c r="A2" s="3" t="s">
        <v>118</v>
      </c>
      <c r="B2" s="3"/>
      <c r="C2" s="3"/>
      <c r="D2" s="3"/>
      <c r="E2" s="3"/>
      <c r="F2" s="3"/>
      <c r="G2" s="3"/>
      <c r="H2" s="3"/>
      <c r="I2" s="3"/>
    </row>
    <row r="4" ht="51.75" customHeight="1" spans="1:9">
      <c r="A4" s="4" t="s">
        <v>86</v>
      </c>
      <c r="B4" s="4" t="s">
        <v>119</v>
      </c>
      <c r="C4" s="4" t="s">
        <v>120</v>
      </c>
      <c r="D4" s="4" t="s">
        <v>121</v>
      </c>
      <c r="E4" s="4" t="s">
        <v>122</v>
      </c>
      <c r="F4" s="4" t="s">
        <v>123</v>
      </c>
      <c r="G4" s="4" t="s">
        <v>124</v>
      </c>
      <c r="H4" s="4" t="s">
        <v>125</v>
      </c>
      <c r="I4" s="4" t="s">
        <v>126</v>
      </c>
    </row>
    <row r="5" ht="15" customHeight="1" spans="1:9">
      <c r="A5" s="15" t="s">
        <v>127</v>
      </c>
      <c r="B5" s="5" t="s">
        <v>128</v>
      </c>
      <c r="C5" s="16">
        <v>990</v>
      </c>
      <c r="D5" s="16">
        <v>25000</v>
      </c>
      <c r="E5" s="7">
        <f>C5*10.5</f>
        <v>10395</v>
      </c>
      <c r="F5" s="6">
        <f>Assumptions!$B$16*10.5</f>
        <v>1417.5</v>
      </c>
      <c r="G5" s="17">
        <f>(E5-F5)/E5</f>
        <v>0.863636363636364</v>
      </c>
      <c r="H5" s="6">
        <f>Assumptions!$B$17</f>
        <v>450</v>
      </c>
      <c r="I5" s="8" t="str">
        <f>IF(C5&gt;=H5,"ผ่าน","ต่ำกว่าเป้า")</f>
        <v>ผ่าน</v>
      </c>
    </row>
    <row r="6" ht="15" customHeight="1" spans="1:9">
      <c r="A6" s="15" t="s">
        <v>129</v>
      </c>
      <c r="B6" s="5" t="s">
        <v>130</v>
      </c>
      <c r="C6" s="16">
        <v>790</v>
      </c>
      <c r="D6" s="16">
        <v>60000</v>
      </c>
      <c r="E6" s="7">
        <f>C6*60.5</f>
        <v>47795</v>
      </c>
      <c r="F6" s="6">
        <f>Assumptions!$B$16*60.5</f>
        <v>8167.5</v>
      </c>
      <c r="G6" s="17">
        <f>(E6-F6)/E6</f>
        <v>0.829113924050633</v>
      </c>
      <c r="H6" s="6">
        <f>Assumptions!$B$17</f>
        <v>450</v>
      </c>
      <c r="I6" s="8" t="str">
        <f>IF(C6&gt;=H6,"ผ่าน","ต่ำกว่าเป้า")</f>
        <v>ผ่าน</v>
      </c>
    </row>
    <row r="7" ht="15" customHeight="1" spans="1:9">
      <c r="A7" s="15" t="s">
        <v>131</v>
      </c>
      <c r="B7" s="5" t="s">
        <v>103</v>
      </c>
      <c r="C7" s="16">
        <v>590</v>
      </c>
      <c r="D7" s="16">
        <v>120000</v>
      </c>
      <c r="E7" s="7">
        <f>C7*200.5</f>
        <v>118295</v>
      </c>
      <c r="F7" s="6">
        <f>Assumptions!$B$16*200.5</f>
        <v>27067.5</v>
      </c>
      <c r="G7" s="17">
        <f>(E7-F7)/E7</f>
        <v>0.771186440677966</v>
      </c>
      <c r="H7" s="6">
        <f>Assumptions!$B$17</f>
        <v>450</v>
      </c>
      <c r="I7" s="8" t="str">
        <f>IF(C7&gt;=H7,"ผ่าน","ต่ำกว่าเป้า")</f>
        <v>ผ่าน</v>
      </c>
    </row>
    <row r="8" ht="15" customHeight="1" spans="1:9">
      <c r="A8" s="15" t="s">
        <v>132</v>
      </c>
      <c r="B8" s="5" t="s">
        <v>133</v>
      </c>
      <c r="C8" s="14" t="s">
        <v>134</v>
      </c>
      <c r="D8" s="14" t="s">
        <v>135</v>
      </c>
      <c r="E8" s="18" t="s">
        <v>110</v>
      </c>
      <c r="F8" s="18" t="s">
        <v>110</v>
      </c>
      <c r="G8" s="18" t="s">
        <v>110</v>
      </c>
      <c r="H8" s="18" t="s">
        <v>110</v>
      </c>
      <c r="I8" s="18" t="s">
        <v>110</v>
      </c>
    </row>
    <row r="11" ht="15" customHeight="1" spans="1:9">
      <c r="A11" s="10" t="s">
        <v>112</v>
      </c>
    </row>
    <row r="12" ht="12" customHeight="1" spans="1:9">
      <c r="A12" s="3" t="s">
        <v>136</v>
      </c>
      <c r="B12" s="3"/>
      <c r="C12" s="3"/>
      <c r="D12" s="3"/>
      <c r="E12" s="3"/>
      <c r="F12" s="3"/>
      <c r="G12" s="3"/>
      <c r="H12" s="3"/>
      <c r="I12" s="3"/>
    </row>
    <row r="13" ht="12" customHeight="1" spans="1:9">
      <c r="A13" s="3" t="s">
        <v>137</v>
      </c>
      <c r="B13" s="3"/>
      <c r="C13" s="3"/>
      <c r="D13" s="3"/>
      <c r="E13" s="3"/>
      <c r="F13" s="3"/>
      <c r="G13" s="3"/>
      <c r="H13" s="3"/>
      <c r="I13" s="3"/>
    </row>
    <row r="14" ht="12" customHeight="1" spans="1:9">
      <c r="A14" s="3" t="s">
        <v>138</v>
      </c>
      <c r="B14" s="3"/>
      <c r="C14" s="3"/>
      <c r="D14" s="3"/>
      <c r="E14" s="3"/>
      <c r="F14" s="3"/>
      <c r="G14" s="3"/>
      <c r="H14" s="3"/>
      <c r="I14" s="3"/>
    </row>
    <row r="15" ht="12" customHeight="1" spans="1:9">
      <c r="A15" s="3" t="s">
        <v>139</v>
      </c>
      <c r="B15" s="3"/>
      <c r="C15" s="3"/>
      <c r="D15" s="3"/>
      <c r="E15" s="3"/>
      <c r="F15" s="3"/>
      <c r="G15" s="3"/>
      <c r="H15" s="3"/>
      <c r="I15" s="3"/>
    </row>
  </sheetData>
  <mergeCells count="5">
    <mergeCell ref="A2:I2"/>
    <mergeCell ref="A12:I12"/>
    <mergeCell ref="A13:I13"/>
    <mergeCell ref="A14:I14"/>
    <mergeCell ref="A15:I1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8.68181818181818" defaultRowHeight="14.5" outlineLevelCol="3"/>
  <cols>
    <col min="1" max="1" width="42" style="1" customWidth="1"/>
    <col min="2" max="2" width="20" style="1" customWidth="1"/>
    <col min="3" max="3" width="18" style="1" customWidth="1"/>
    <col min="4" max="4" width="46" style="1" customWidth="1"/>
  </cols>
  <sheetData>
    <row r="1" ht="16.5" customHeight="1" spans="1:4">
      <c r="A1" s="2" t="s">
        <v>140</v>
      </c>
    </row>
    <row r="3" ht="15" customHeight="1" spans="1:4">
      <c r="A3" s="4" t="s">
        <v>141</v>
      </c>
      <c r="B3" s="4" t="s">
        <v>142</v>
      </c>
      <c r="C3" s="4" t="s">
        <v>4</v>
      </c>
      <c r="D3" s="4" t="s">
        <v>143</v>
      </c>
    </row>
    <row r="4" ht="26.25" customHeight="1" spans="1:4">
      <c r="A4" s="11" t="s">
        <v>144</v>
      </c>
      <c r="B4" s="12">
        <v>15000</v>
      </c>
      <c r="C4" s="5" t="s">
        <v>145</v>
      </c>
      <c r="D4" s="13" t="s">
        <v>146</v>
      </c>
    </row>
    <row r="5" ht="26.25" customHeight="1" spans="1:4">
      <c r="A5" s="11" t="s">
        <v>147</v>
      </c>
      <c r="B5" s="12">
        <v>8000</v>
      </c>
      <c r="C5" s="5" t="s">
        <v>148</v>
      </c>
      <c r="D5" s="13" t="s">
        <v>149</v>
      </c>
    </row>
    <row r="6" ht="26.25" customHeight="1" spans="1:4">
      <c r="A6" s="11" t="s">
        <v>150</v>
      </c>
      <c r="B6" s="12">
        <v>3000</v>
      </c>
      <c r="C6" s="5" t="s">
        <v>151</v>
      </c>
      <c r="D6" s="13" t="s">
        <v>152</v>
      </c>
    </row>
    <row r="7" ht="15" customHeight="1" spans="1:4">
      <c r="A7" s="11" t="s">
        <v>153</v>
      </c>
      <c r="B7" s="12">
        <v>12000</v>
      </c>
      <c r="C7" s="5" t="s">
        <v>154</v>
      </c>
      <c r="D7" s="13" t="s">
        <v>155</v>
      </c>
    </row>
    <row r="8" ht="26.25" customHeight="1" spans="1:4">
      <c r="A8" s="11" t="s">
        <v>156</v>
      </c>
      <c r="B8" s="12">
        <v>80000</v>
      </c>
      <c r="C8" s="5" t="s">
        <v>157</v>
      </c>
      <c r="D8" s="13" t="s">
        <v>158</v>
      </c>
    </row>
    <row r="9" ht="26.25" customHeight="1" spans="1:4">
      <c r="A9" s="11" t="s">
        <v>159</v>
      </c>
      <c r="B9" s="12">
        <v>25000</v>
      </c>
      <c r="C9" s="5" t="s">
        <v>160</v>
      </c>
      <c r="D9" s="13" t="s">
        <v>161</v>
      </c>
    </row>
    <row r="10" ht="26.25" customHeight="1" spans="1:4">
      <c r="A10" s="11" t="s">
        <v>162</v>
      </c>
      <c r="B10" s="12">
        <v>500</v>
      </c>
      <c r="C10" s="5" t="s">
        <v>163</v>
      </c>
      <c r="D10" s="13" t="s">
        <v>164</v>
      </c>
    </row>
    <row r="11" ht="26.25" customHeight="1" spans="1:4">
      <c r="A11" s="11" t="s">
        <v>165</v>
      </c>
      <c r="B11" s="14" t="s">
        <v>166</v>
      </c>
      <c r="C11" s="5" t="s">
        <v>167</v>
      </c>
      <c r="D11" s="13" t="s">
        <v>168</v>
      </c>
    </row>
    <row r="12" ht="15" customHeight="1" spans="1:4">
      <c r="A12" s="11" t="s">
        <v>169</v>
      </c>
      <c r="B12" s="14" t="s">
        <v>170</v>
      </c>
      <c r="C12" s="5" t="s">
        <v>110</v>
      </c>
      <c r="D12" s="13" t="s">
        <v>171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8.68181818181818" defaultRowHeight="14.5" outlineLevelCol="5"/>
  <cols>
    <col min="1" max="1" width="24" style="1" customWidth="1"/>
    <col min="2" max="3" width="26" style="1" customWidth="1"/>
    <col min="4" max="4" width="16" style="1" customWidth="1"/>
    <col min="5" max="5" width="20" style="1" customWidth="1"/>
    <col min="6" max="6" width="40" style="1" customWidth="1"/>
  </cols>
  <sheetData>
    <row r="1" ht="16.5" customHeight="1" spans="1:6">
      <c r="A1" s="2" t="s">
        <v>172</v>
      </c>
    </row>
    <row r="2" ht="12" customHeight="1" spans="1:6">
      <c r="A2" s="3" t="s">
        <v>173</v>
      </c>
      <c r="B2" s="3"/>
      <c r="C2" s="3"/>
      <c r="D2" s="3"/>
      <c r="E2" s="3"/>
      <c r="F2" s="3"/>
    </row>
    <row r="4" ht="39" customHeight="1" spans="1:6">
      <c r="A4" s="4" t="s">
        <v>174</v>
      </c>
      <c r="B4" s="4" t="s">
        <v>175</v>
      </c>
      <c r="C4" s="4" t="s">
        <v>176</v>
      </c>
      <c r="D4" s="4" t="s">
        <v>177</v>
      </c>
      <c r="E4" s="4" t="s">
        <v>178</v>
      </c>
      <c r="F4" s="4" t="s">
        <v>179</v>
      </c>
    </row>
    <row r="5" ht="13.5" customHeight="1" spans="1:6">
      <c r="A5" s="5" t="s">
        <v>180</v>
      </c>
      <c r="B5" s="6">
        <f>'Model 1 - ขายขาด+MA'!G5</f>
        <v>802400</v>
      </c>
      <c r="C5" s="6">
        <f>'Model 2 - รายคันต่อเดือน'!C5*20*36+'Model 2 - รายคันต่อเดือน'!D5</f>
        <v>737800</v>
      </c>
      <c r="D5" s="7">
        <f>B5-C5</f>
        <v>64600</v>
      </c>
      <c r="E5" s="8" t="str">
        <f>IF(B5&lt;C5,"Model 1 ถูกกว่า",IF(B5&gt;C5,"Model 2 ถูกกว่า","เท่ากัน"))</f>
        <v>Model 2 ถูกกว่า</v>
      </c>
      <c r="F5" s="9" t="s">
        <v>181</v>
      </c>
    </row>
    <row r="6" ht="13.5" customHeight="1" spans="1:6">
      <c r="A6" s="5" t="s">
        <v>182</v>
      </c>
      <c r="B6" s="6">
        <f>'Model 1 - ขายขาด+MA'!G6</f>
        <v>1754400</v>
      </c>
      <c r="C6" s="6">
        <f>'Model 2 - รายคันต่อเดือน'!C6*60*36+'Model 2 - รายคันต่อเดือน'!D6</f>
        <v>1766400</v>
      </c>
      <c r="D6" s="7">
        <f>B6-C6</f>
        <v>-12000</v>
      </c>
      <c r="E6" s="8" t="str">
        <f>IF(B6&lt;C6,"Model 1 ถูกกว่า",IF(B6&gt;C6,"Model 2 ถูกกว่า","เท่ากัน"))</f>
        <v>Model 1 ถูกกว่า</v>
      </c>
      <c r="F6" s="9" t="s">
        <v>181</v>
      </c>
    </row>
    <row r="7" ht="13.5" customHeight="1" spans="1:6">
      <c r="A7" s="5" t="s">
        <v>183</v>
      </c>
      <c r="B7" s="6">
        <f>'Model 1 - ขายขาด+MA'!G7</f>
        <v>3286800</v>
      </c>
      <c r="C7" s="6">
        <f>'Model 2 - รายคันต่อเดือน'!C7*150*36+'Model 2 - รายคันต่อเดือน'!D7</f>
        <v>3306000</v>
      </c>
      <c r="D7" s="7">
        <f>B7-C7</f>
        <v>-19200</v>
      </c>
      <c r="E7" s="8" t="str">
        <f>IF(B7&lt;C7,"Model 1 ถูกกว่า",IF(B7&gt;C7,"Model 2 ถูกกว่า","เท่ากัน"))</f>
        <v>Model 1 ถูกกว่า</v>
      </c>
      <c r="F7" s="9" t="s">
        <v>181</v>
      </c>
    </row>
    <row r="10" ht="15" customHeight="1" spans="1:6">
      <c r="A10" s="10" t="s">
        <v>184</v>
      </c>
    </row>
    <row r="11" ht="18" customHeight="1" spans="1:6">
      <c r="A11" s="3" t="s">
        <v>185</v>
      </c>
      <c r="B11" s="3"/>
      <c r="C11" s="3"/>
      <c r="D11" s="3"/>
      <c r="E11" s="3"/>
      <c r="F11" s="3"/>
    </row>
    <row r="12" ht="18" customHeight="1" spans="1:6">
      <c r="A12" s="3" t="s">
        <v>186</v>
      </c>
      <c r="B12" s="3"/>
      <c r="C12" s="3"/>
      <c r="D12" s="3"/>
      <c r="E12" s="3"/>
      <c r="F12" s="3"/>
    </row>
    <row r="13" ht="18" customHeight="1" spans="1:6">
      <c r="A13" s="3" t="s">
        <v>187</v>
      </c>
      <c r="B13" s="3"/>
      <c r="C13" s="3"/>
      <c r="D13" s="3"/>
      <c r="E13" s="3"/>
      <c r="F13" s="3"/>
    </row>
    <row r="14" ht="18" customHeight="1" spans="1:6">
      <c r="A14" s="3" t="s">
        <v>188</v>
      </c>
      <c r="B14" s="3"/>
      <c r="C14" s="3"/>
      <c r="D14" s="3"/>
      <c r="E14" s="3"/>
      <c r="F14" s="3"/>
    </row>
  </sheetData>
  <mergeCells count="5">
    <mergeCell ref="A2:F2"/>
    <mergeCell ref="A11:F11"/>
    <mergeCell ref="A12:F12"/>
    <mergeCell ref="A13:F13"/>
    <mergeCell ref="A14:F1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LibreOffice/26.2.4.2$Linux_X86_64 LibreOffice_project/620$Build-2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Assumptions</vt:lpstr>
      <vt:lpstr>จุดเด่นเทียบคู่แข่ง</vt:lpstr>
      <vt:lpstr>Model 1 - ขายขาด+MA</vt:lpstr>
      <vt:lpstr>Model 2 - รายคันต่อเดือน</vt:lpstr>
      <vt:lpstr>Add-ons เสริม</vt:lpstr>
      <vt:lpstr>เปรียบเทียบ 3 ปี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9Est Smart_Code</cp:lastModifiedBy>
  <cp:revision>0</cp:revision>
  <dcterms:created xsi:type="dcterms:W3CDTF">2026-07-13T04:42:00Z</dcterms:created>
  <dcterms:modified xsi:type="dcterms:W3CDTF">2026-07-13T05:08:12Z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30CF38DD3A7E478AAC74A83981887DD0_12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